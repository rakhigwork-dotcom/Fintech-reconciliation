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60d391f41cbf1d9/Documents/"/>
    </mc:Choice>
  </mc:AlternateContent>
  <xr:revisionPtr revIDLastSave="0" documentId="14_{17451809-9EC5-44CE-B88A-2A2EA79F8F7B}" xr6:coauthVersionLast="47" xr6:coauthVersionMax="47" xr10:uidLastSave="{00000000-0000-0000-0000-000000000000}"/>
  <bookViews>
    <workbookView xWindow="12" yWindow="12" windowWidth="23016" windowHeight="12216" firstSheet="1" activeTab="1" xr2:uid="{AB84D1DA-2036-4C2D-984C-6B73A82F6638}"/>
  </bookViews>
  <sheets>
    <sheet name="gateway" sheetId="2" r:id="rId1"/>
    <sheet name="quick_pay_final_report." sheetId="1" r:id="rId2"/>
  </sheets>
  <definedNames>
    <definedName name="ExternalData_1" localSheetId="0" hidden="1">gateway!$A$1:$G$10</definedName>
  </definedNames>
  <calcPr calcId="0"/>
</workbook>
</file>

<file path=xl/calcChain.xml><?xml version="1.0" encoding="utf-8"?>
<calcChain xmlns="http://schemas.openxmlformats.org/spreadsheetml/2006/main">
  <c r="G2" i="1" l="1"/>
  <c r="B10" i="2"/>
  <c r="B3" i="2"/>
  <c r="B9" i="2"/>
  <c r="B4" i="2"/>
  <c r="B6" i="2"/>
  <c r="B7" i="2"/>
  <c r="B5" i="2"/>
  <c r="B8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5E3CD4F-BDFF-4913-9C95-21B2FA8F8EB8}" keepAlive="1" name="Query - gateway" description="Connection to the 'gateway' query in the workbook." type="5" refreshedVersion="8" background="1" saveData="1">
    <dbPr connection="Provider=Microsoft.Mashup.OleDb.1;Data Source=$Workbook$;Location=gateway;Extended Properties=&quot;&quot;" command="SELECT * FROM [gateway]"/>
  </connection>
</connections>
</file>

<file path=xl/sharedStrings.xml><?xml version="1.0" encoding="utf-8"?>
<sst xmlns="http://schemas.openxmlformats.org/spreadsheetml/2006/main" count="317" uniqueCount="100">
  <si>
    <t>transaction_id</t>
  </si>
  <si>
    <t>transaction_date</t>
  </si>
  <si>
    <t>merchant_name</t>
  </si>
  <si>
    <t>currency</t>
  </si>
  <si>
    <t>status</t>
  </si>
  <si>
    <t>risk_score</t>
  </si>
  <si>
    <t>gateway_region</t>
  </si>
  <si>
    <t>payment_method</t>
  </si>
  <si>
    <t>T001</t>
  </si>
  <si>
    <t>INR</t>
  </si>
  <si>
    <t>APAC</t>
  </si>
  <si>
    <t>U001</t>
  </si>
  <si>
    <t>UPI</t>
  </si>
  <si>
    <t>T002</t>
  </si>
  <si>
    <t>U002</t>
  </si>
  <si>
    <t>Card</t>
  </si>
  <si>
    <t>T003</t>
  </si>
  <si>
    <t xml:space="preserve"> APAC </t>
  </si>
  <si>
    <t>U003</t>
  </si>
  <si>
    <t>NetBanking</t>
  </si>
  <si>
    <t>T004</t>
  </si>
  <si>
    <t>Beta  Stores</t>
  </si>
  <si>
    <t>U004</t>
  </si>
  <si>
    <t>T005</t>
  </si>
  <si>
    <t>Alpha Mart</t>
  </si>
  <si>
    <t>T006</t>
  </si>
  <si>
    <t>U005</t>
  </si>
  <si>
    <t>Wallet</t>
  </si>
  <si>
    <t>T007</t>
  </si>
  <si>
    <t>Alpha  Mart</t>
  </si>
  <si>
    <t>chargeback</t>
  </si>
  <si>
    <t>U006</t>
  </si>
  <si>
    <t>T008</t>
  </si>
  <si>
    <t>U007</t>
  </si>
  <si>
    <t>T009</t>
  </si>
  <si>
    <t>T010</t>
  </si>
  <si>
    <t>Beta Stores</t>
  </si>
  <si>
    <t>T011</t>
  </si>
  <si>
    <t>U008</t>
  </si>
  <si>
    <t>T012</t>
  </si>
  <si>
    <t>U009</t>
  </si>
  <si>
    <t>T013</t>
  </si>
  <si>
    <t>U010</t>
  </si>
  <si>
    <t>T014</t>
  </si>
  <si>
    <t>T015</t>
  </si>
  <si>
    <t>T016</t>
  </si>
  <si>
    <t>T017</t>
  </si>
  <si>
    <t>T018</t>
  </si>
  <si>
    <t xml:space="preserve"> chargeback </t>
  </si>
  <si>
    <t>T019</t>
  </si>
  <si>
    <t>T020</t>
  </si>
  <si>
    <t>T021</t>
  </si>
  <si>
    <t>T022</t>
  </si>
  <si>
    <t>T023</t>
  </si>
  <si>
    <t>City Pharma</t>
  </si>
  <si>
    <t>EUR</t>
  </si>
  <si>
    <t xml:space="preserve"> EU </t>
  </si>
  <si>
    <t>T024</t>
  </si>
  <si>
    <t>Eco Home</t>
  </si>
  <si>
    <t>EU</t>
  </si>
  <si>
    <t>T025</t>
  </si>
  <si>
    <t>T026</t>
  </si>
  <si>
    <t>T027</t>
  </si>
  <si>
    <t>USD</t>
  </si>
  <si>
    <t>T028</t>
  </si>
  <si>
    <t>Delta Travels</t>
  </si>
  <si>
    <t>US</t>
  </si>
  <si>
    <t>T029</t>
  </si>
  <si>
    <t>T030</t>
  </si>
  <si>
    <t xml:space="preserve"> Alpha Mart </t>
  </si>
  <si>
    <t xml:space="preserve">Beta Stores </t>
  </si>
  <si>
    <t xml:space="preserve"> Beta Stores</t>
  </si>
  <si>
    <t xml:space="preserve">Delta Travels </t>
  </si>
  <si>
    <t>success</t>
  </si>
  <si>
    <t xml:space="preserve">success </t>
  </si>
  <si>
    <t xml:space="preserve"> success</t>
  </si>
  <si>
    <t xml:space="preserve"> failed </t>
  </si>
  <si>
    <t>failed</t>
  </si>
  <si>
    <t>amount</t>
  </si>
  <si>
    <t>USer_id</t>
  </si>
  <si>
    <t>Amount_INR</t>
  </si>
  <si>
    <t>merchant_id</t>
  </si>
  <si>
    <t>amount_usd</t>
  </si>
  <si>
    <t>R001</t>
  </si>
  <si>
    <t>M001</t>
  </si>
  <si>
    <t>R002</t>
  </si>
  <si>
    <t>M002</t>
  </si>
  <si>
    <t>R003</t>
  </si>
  <si>
    <t>R005</t>
  </si>
  <si>
    <t>M004</t>
  </si>
  <si>
    <t>R006</t>
  </si>
  <si>
    <t>R007</t>
  </si>
  <si>
    <t>M005</t>
  </si>
  <si>
    <t>R008</t>
  </si>
  <si>
    <t>R009</t>
  </si>
  <si>
    <t>R011</t>
  </si>
  <si>
    <t>M003</t>
  </si>
  <si>
    <t>Column1</t>
  </si>
  <si>
    <t>gateway_ status</t>
  </si>
  <si>
    <t>Not in Gateway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</si>
</sst>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5" formatCode="&quot;₹&quot;\ 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applyNumberFormat="1"/>
    <xf numFmtId="165" fontId="0" fillId="0" borderId="0" xfId="0" applyNumberFormat="1"/>
    <xf numFmtId="43" fontId="0" fillId="0" borderId="0" xfId="1" applyFont="1"/>
    <xf numFmtId="165" fontId="0" fillId="0" borderId="0" xfId="1" applyNumberFormat="1" applyFont="1"/>
    <xf numFmtId="0" fontId="0" fillId="0" borderId="0" xfId="0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25A675B-FD1B-4017-B3E0-9F954608E1D9}" autoFormatId="16" applyNumberFormats="0" applyBorderFormats="0" applyFontFormats="0" applyPatternFormats="0" applyAlignmentFormats="0" applyWidthHeightFormats="0">
  <queryTableRefresh nextId="8">
    <queryTableFields count="7">
      <queryTableField id="1" name="transaction_id" tableColumnId="1"/>
      <queryTableField id="7" dataBound="0" tableColumnId="7"/>
      <queryTableField id="2" name="transaction_date" tableColumnId="2"/>
      <queryTableField id="3" name="merchant_id" tableColumnId="3"/>
      <queryTableField id="4" name="amount_usd" tableColumnId="4"/>
      <queryTableField id="5" name="status" tableColumnId="5"/>
      <queryTableField id="6" name="payment_method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1E6CBC-DA8C-4958-B82C-36A3562520AD}" name="gateway" displayName="gateway" ref="A1:G10" tableType="queryTable" totalsRowShown="0">
  <autoFilter ref="A1:G10" xr:uid="{1A1E6CBC-DA8C-4958-B82C-36A3562520AD}"/>
  <tableColumns count="7">
    <tableColumn id="1" xr3:uid="{F77B3F0E-C932-4D59-B45F-BDD5EFD93BF0}" uniqueName="1" name="transaction_id" queryTableFieldId="1" dataDxfId="5"/>
    <tableColumn id="7" xr3:uid="{73B38ED3-68BA-40E4-9FE3-471E490794D8}" uniqueName="7" name="Column1" queryTableFieldId="7" dataDxfId="0">
      <calculatedColumnFormula>RIGHT(B2,3)</calculatedColumnFormula>
    </tableColumn>
    <tableColumn id="2" xr3:uid="{7745F12E-43DE-4889-919D-8889D5F8B3E3}" uniqueName="2" name="transaction_date" queryTableFieldId="2" dataDxfId="4"/>
    <tableColumn id="3" xr3:uid="{0EF21BD5-4D64-40E8-A747-4E01F9BD5F8B}" uniqueName="3" name="merchant_id" queryTableFieldId="3" dataDxfId="3"/>
    <tableColumn id="4" xr3:uid="{9011BF3A-5983-41FD-8B1B-C78B4D0CFC99}" uniqueName="4" name="amount_usd" queryTableFieldId="4"/>
    <tableColumn id="5" xr3:uid="{C33645ED-683C-4738-8D67-26E726F1FD29}" uniqueName="5" name="status" queryTableFieldId="5" dataDxfId="2"/>
    <tableColumn id="6" xr3:uid="{3223F8CF-F786-4F97-9831-C2500F20C75D}" uniqueName="6" name="payment_method" queryTableFieldId="6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3E0AD-727E-438F-AAF2-8E91377994CA}">
  <dimension ref="A1:G10"/>
  <sheetViews>
    <sheetView workbookViewId="0">
      <selection activeCell="D1" sqref="D1"/>
    </sheetView>
  </sheetViews>
  <sheetFormatPr defaultRowHeight="14.4" x14ac:dyDescent="0.3"/>
  <cols>
    <col min="1" max="1" width="15.33203125" bestFit="1" customWidth="1"/>
    <col min="2" max="2" width="15.33203125" customWidth="1"/>
    <col min="3" max="3" width="17.5546875" bestFit="1" customWidth="1"/>
    <col min="4" max="5" width="13.88671875" bestFit="1" customWidth="1"/>
    <col min="6" max="6" width="8.21875" bestFit="1" customWidth="1"/>
    <col min="7" max="7" width="18.5546875" bestFit="1" customWidth="1"/>
  </cols>
  <sheetData>
    <row r="1" spans="1:7" x14ac:dyDescent="0.3">
      <c r="A1" t="s">
        <v>0</v>
      </c>
      <c r="B1" t="s">
        <v>97</v>
      </c>
      <c r="C1" t="s">
        <v>1</v>
      </c>
      <c r="D1" t="s">
        <v>81</v>
      </c>
      <c r="E1" t="s">
        <v>82</v>
      </c>
      <c r="F1" t="s">
        <v>4</v>
      </c>
      <c r="G1" t="s">
        <v>7</v>
      </c>
    </row>
    <row r="2" spans="1:7" x14ac:dyDescent="0.3">
      <c r="A2" s="2" t="s">
        <v>83</v>
      </c>
      <c r="B2" s="2">
        <v>0</v>
      </c>
      <c r="C2" s="1">
        <v>46082</v>
      </c>
      <c r="D2" s="2" t="s">
        <v>84</v>
      </c>
      <c r="E2">
        <v>1200</v>
      </c>
      <c r="F2" s="2" t="s">
        <v>73</v>
      </c>
      <c r="G2" s="2" t="s">
        <v>12</v>
      </c>
    </row>
    <row r="3" spans="1:7" x14ac:dyDescent="0.3">
      <c r="A3" s="2" t="s">
        <v>85</v>
      </c>
      <c r="B3" s="2">
        <f t="shared" ref="B2:B10" ca="1" si="0">RIGHT(B3,3)</f>
        <v>0</v>
      </c>
      <c r="C3" s="1">
        <v>46082</v>
      </c>
      <c r="D3" s="2" t="s">
        <v>86</v>
      </c>
      <c r="E3">
        <v>900</v>
      </c>
      <c r="F3" s="2" t="s">
        <v>73</v>
      </c>
      <c r="G3" s="2" t="s">
        <v>15</v>
      </c>
    </row>
    <row r="4" spans="1:7" x14ac:dyDescent="0.3">
      <c r="A4" s="2" t="s">
        <v>87</v>
      </c>
      <c r="B4" s="2">
        <f t="shared" ca="1" si="0"/>
        <v>0</v>
      </c>
      <c r="C4" s="1">
        <v>46083</v>
      </c>
      <c r="D4" s="2" t="s">
        <v>84</v>
      </c>
      <c r="E4">
        <v>500</v>
      </c>
      <c r="F4" s="2" t="s">
        <v>73</v>
      </c>
      <c r="G4" s="2" t="s">
        <v>27</v>
      </c>
    </row>
    <row r="5" spans="1:7" x14ac:dyDescent="0.3">
      <c r="A5" s="2" t="s">
        <v>88</v>
      </c>
      <c r="B5" s="2">
        <f t="shared" ca="1" si="0"/>
        <v>0</v>
      </c>
      <c r="C5" s="1">
        <v>46084</v>
      </c>
      <c r="D5" s="2" t="s">
        <v>89</v>
      </c>
      <c r="E5">
        <v>7200</v>
      </c>
      <c r="F5" s="2" t="s">
        <v>77</v>
      </c>
      <c r="G5" s="2" t="s">
        <v>15</v>
      </c>
    </row>
    <row r="6" spans="1:7" x14ac:dyDescent="0.3">
      <c r="A6" s="2" t="s">
        <v>90</v>
      </c>
      <c r="B6" s="2">
        <f t="shared" ca="1" si="0"/>
        <v>0</v>
      </c>
      <c r="C6" s="1">
        <v>46084</v>
      </c>
      <c r="D6" s="2" t="s">
        <v>86</v>
      </c>
      <c r="E6">
        <v>950</v>
      </c>
      <c r="F6" s="2" t="s">
        <v>73</v>
      </c>
      <c r="G6" s="2" t="s">
        <v>12</v>
      </c>
    </row>
    <row r="7" spans="1:7" x14ac:dyDescent="0.3">
      <c r="A7" s="2" t="s">
        <v>91</v>
      </c>
      <c r="B7" s="2">
        <f t="shared" ca="1" si="0"/>
        <v>0</v>
      </c>
      <c r="C7" s="1">
        <v>46085</v>
      </c>
      <c r="D7" s="2" t="s">
        <v>92</v>
      </c>
      <c r="E7">
        <v>3300</v>
      </c>
      <c r="F7" s="2" t="s">
        <v>77</v>
      </c>
      <c r="G7" s="2" t="s">
        <v>19</v>
      </c>
    </row>
    <row r="8" spans="1:7" x14ac:dyDescent="0.3">
      <c r="A8" s="2" t="s">
        <v>93</v>
      </c>
      <c r="B8" s="2">
        <f t="shared" ca="1" si="0"/>
        <v>0</v>
      </c>
      <c r="C8" s="1">
        <v>46085</v>
      </c>
      <c r="D8" s="2" t="s">
        <v>84</v>
      </c>
      <c r="E8">
        <v>600</v>
      </c>
      <c r="F8" s="2" t="s">
        <v>73</v>
      </c>
      <c r="G8" s="2" t="s">
        <v>15</v>
      </c>
    </row>
    <row r="9" spans="1:7" x14ac:dyDescent="0.3">
      <c r="A9" s="2" t="s">
        <v>94</v>
      </c>
      <c r="B9" s="2">
        <f t="shared" ca="1" si="0"/>
        <v>0</v>
      </c>
      <c r="C9" s="1">
        <v>46086</v>
      </c>
      <c r="D9" s="2" t="s">
        <v>86</v>
      </c>
      <c r="E9">
        <v>4100</v>
      </c>
      <c r="F9" s="2" t="s">
        <v>73</v>
      </c>
      <c r="G9" s="2" t="s">
        <v>15</v>
      </c>
    </row>
    <row r="10" spans="1:7" x14ac:dyDescent="0.3">
      <c r="A10" s="2" t="s">
        <v>95</v>
      </c>
      <c r="B10" s="2">
        <f t="shared" ca="1" si="0"/>
        <v>0</v>
      </c>
      <c r="C10" s="1">
        <v>46086</v>
      </c>
      <c r="D10" s="2" t="s">
        <v>96</v>
      </c>
      <c r="E10">
        <v>1800</v>
      </c>
      <c r="F10" s="2" t="s">
        <v>73</v>
      </c>
      <c r="G10" s="2" t="s">
        <v>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51D4D-2C77-4103-A6EB-01219688D913}">
  <dimension ref="A1:M31"/>
  <sheetViews>
    <sheetView tabSelected="1" topLeftCell="G1" zoomScale="130" zoomScaleNormal="130" workbookViewId="0">
      <selection activeCell="O6" sqref="O6"/>
    </sheetView>
  </sheetViews>
  <sheetFormatPr defaultRowHeight="14.4" x14ac:dyDescent="0.3"/>
  <cols>
    <col min="1" max="1" width="14.21875" customWidth="1"/>
    <col min="2" max="2" width="15.33203125" style="1" customWidth="1"/>
    <col min="3" max="3" width="15.33203125" style="6" customWidth="1"/>
    <col min="4" max="4" width="14.77734375" bestFit="1" customWidth="1"/>
    <col min="5" max="5" width="12" style="4" bestFit="1" customWidth="1"/>
    <col min="6" max="6" width="8.109375" bestFit="1" customWidth="1"/>
    <col min="7" max="7" width="12" style="3" bestFit="1" customWidth="1"/>
    <col min="8" max="8" width="11.21875" bestFit="1" customWidth="1"/>
    <col min="9" max="9" width="9.21875" bestFit="1" customWidth="1"/>
    <col min="10" max="10" width="14.33203125" bestFit="1" customWidth="1"/>
    <col min="11" max="11" width="7" bestFit="1" customWidth="1"/>
    <col min="12" max="12" width="17.88671875" customWidth="1"/>
    <col min="13" max="13" width="14.44140625" bestFit="1" customWidth="1"/>
    <col min="14" max="14" width="11.5546875" bestFit="1" customWidth="1"/>
  </cols>
  <sheetData>
    <row r="1" spans="1:13" x14ac:dyDescent="0.3">
      <c r="A1" t="s">
        <v>0</v>
      </c>
      <c r="B1" s="1" t="s">
        <v>1</v>
      </c>
      <c r="C1" s="6" t="s">
        <v>81</v>
      </c>
      <c r="D1" t="s">
        <v>2</v>
      </c>
      <c r="E1" s="4" t="s">
        <v>78</v>
      </c>
      <c r="F1" t="s">
        <v>3</v>
      </c>
      <c r="G1" s="3" t="s">
        <v>80</v>
      </c>
      <c r="H1" t="s">
        <v>4</v>
      </c>
      <c r="I1" t="s">
        <v>5</v>
      </c>
      <c r="J1" t="s">
        <v>6</v>
      </c>
      <c r="K1" t="s">
        <v>79</v>
      </c>
      <c r="L1" t="s">
        <v>7</v>
      </c>
      <c r="M1" t="s">
        <v>98</v>
      </c>
    </row>
    <row r="2" spans="1:13" x14ac:dyDescent="0.3">
      <c r="A2" t="s">
        <v>8</v>
      </c>
      <c r="B2" s="1">
        <v>46082</v>
      </c>
      <c r="C2" s="6" t="s">
        <v>84</v>
      </c>
      <c r="D2" t="s">
        <v>69</v>
      </c>
      <c r="E2" s="4">
        <v>420000</v>
      </c>
      <c r="F2" t="s">
        <v>9</v>
      </c>
      <c r="G2" s="3">
        <f>IF(F2="EUR", E2*90, IF(F2="USD", E2*83, E2))</f>
        <v>420000</v>
      </c>
      <c r="H2" t="s">
        <v>73</v>
      </c>
      <c r="I2">
        <v>65</v>
      </c>
      <c r="J2" t="s">
        <v>10</v>
      </c>
      <c r="K2" t="s">
        <v>11</v>
      </c>
      <c r="L2" t="s">
        <v>12</v>
      </c>
      <c r="M2">
        <v>1200</v>
      </c>
    </row>
    <row r="3" spans="1:13" x14ac:dyDescent="0.3">
      <c r="A3" t="s">
        <v>13</v>
      </c>
      <c r="B3" s="1">
        <v>46082</v>
      </c>
      <c r="C3" s="6" t="s">
        <v>84</v>
      </c>
      <c r="D3" t="s">
        <v>24</v>
      </c>
      <c r="E3" s="4">
        <v>210000</v>
      </c>
      <c r="F3" t="s">
        <v>9</v>
      </c>
      <c r="G3" s="5">
        <v>210000</v>
      </c>
      <c r="H3" t="s">
        <v>74</v>
      </c>
      <c r="I3">
        <v>55</v>
      </c>
      <c r="J3" t="s">
        <v>10</v>
      </c>
      <c r="K3" t="s">
        <v>14</v>
      </c>
      <c r="L3" t="s">
        <v>15</v>
      </c>
      <c r="M3">
        <v>900</v>
      </c>
    </row>
    <row r="4" spans="1:13" x14ac:dyDescent="0.3">
      <c r="A4" t="s">
        <v>16</v>
      </c>
      <c r="B4" s="1">
        <v>46082</v>
      </c>
      <c r="C4" s="6" t="s">
        <v>86</v>
      </c>
      <c r="D4" t="s">
        <v>70</v>
      </c>
      <c r="E4" s="4">
        <v>510000</v>
      </c>
      <c r="F4" t="s">
        <v>9</v>
      </c>
      <c r="G4" s="3">
        <v>510000</v>
      </c>
      <c r="H4" t="s">
        <v>75</v>
      </c>
      <c r="I4">
        <v>71</v>
      </c>
      <c r="J4" t="s">
        <v>17</v>
      </c>
      <c r="K4" t="s">
        <v>18</v>
      </c>
      <c r="L4" t="s">
        <v>19</v>
      </c>
      <c r="M4">
        <v>500</v>
      </c>
    </row>
    <row r="5" spans="1:13" x14ac:dyDescent="0.3">
      <c r="A5" t="s">
        <v>20</v>
      </c>
      <c r="B5" s="1">
        <v>46083</v>
      </c>
      <c r="C5" s="6" t="s">
        <v>86</v>
      </c>
      <c r="D5" t="s">
        <v>21</v>
      </c>
      <c r="E5" s="4">
        <v>160000</v>
      </c>
      <c r="F5" t="s">
        <v>9</v>
      </c>
      <c r="G5" s="3">
        <v>160000</v>
      </c>
      <c r="H5" t="s">
        <v>76</v>
      </c>
      <c r="I5">
        <v>68</v>
      </c>
      <c r="J5" t="s">
        <v>10</v>
      </c>
      <c r="K5" t="s">
        <v>22</v>
      </c>
      <c r="L5" t="s">
        <v>15</v>
      </c>
      <c r="M5" t="s">
        <v>99</v>
      </c>
    </row>
    <row r="6" spans="1:13" x14ac:dyDescent="0.3">
      <c r="A6" t="s">
        <v>23</v>
      </c>
      <c r="B6" s="1">
        <v>46083</v>
      </c>
      <c r="C6" s="6" t="s">
        <v>84</v>
      </c>
      <c r="D6" t="s">
        <v>24</v>
      </c>
      <c r="E6" s="4">
        <v>390000</v>
      </c>
      <c r="F6" t="s">
        <v>9</v>
      </c>
      <c r="G6" s="3">
        <v>390000</v>
      </c>
      <c r="H6" t="s">
        <v>75</v>
      </c>
      <c r="I6">
        <v>58</v>
      </c>
      <c r="J6" t="s">
        <v>10</v>
      </c>
      <c r="K6" t="s">
        <v>11</v>
      </c>
      <c r="L6" t="s">
        <v>12</v>
      </c>
      <c r="M6">
        <v>7200</v>
      </c>
    </row>
    <row r="7" spans="1:13" x14ac:dyDescent="0.3">
      <c r="A7" t="s">
        <v>25</v>
      </c>
      <c r="B7" s="1">
        <v>46083</v>
      </c>
      <c r="C7" s="6" t="s">
        <v>86</v>
      </c>
      <c r="D7" t="s">
        <v>21</v>
      </c>
      <c r="E7" s="4">
        <v>275000</v>
      </c>
      <c r="F7" t="s">
        <v>9</v>
      </c>
      <c r="G7" s="3">
        <v>275000</v>
      </c>
      <c r="H7" t="s">
        <v>74</v>
      </c>
      <c r="I7">
        <v>64</v>
      </c>
      <c r="J7" t="s">
        <v>10</v>
      </c>
      <c r="K7" t="s">
        <v>26</v>
      </c>
      <c r="L7" t="s">
        <v>27</v>
      </c>
      <c r="M7">
        <v>950</v>
      </c>
    </row>
    <row r="8" spans="1:13" x14ac:dyDescent="0.3">
      <c r="A8" t="s">
        <v>28</v>
      </c>
      <c r="B8" s="1">
        <v>46083</v>
      </c>
      <c r="C8" s="6" t="s">
        <v>84</v>
      </c>
      <c r="D8" t="s">
        <v>29</v>
      </c>
      <c r="E8" s="4">
        <v>450000</v>
      </c>
      <c r="F8" t="s">
        <v>9</v>
      </c>
      <c r="G8" s="3">
        <v>450000</v>
      </c>
      <c r="H8" t="s">
        <v>30</v>
      </c>
      <c r="I8">
        <v>83</v>
      </c>
      <c r="J8" t="s">
        <v>17</v>
      </c>
      <c r="K8" t="s">
        <v>31</v>
      </c>
      <c r="L8" t="s">
        <v>15</v>
      </c>
      <c r="M8">
        <v>3300</v>
      </c>
    </row>
    <row r="9" spans="1:13" x14ac:dyDescent="0.3">
      <c r="A9" t="s">
        <v>32</v>
      </c>
      <c r="B9" s="1">
        <v>46084</v>
      </c>
      <c r="C9" s="6" t="s">
        <v>86</v>
      </c>
      <c r="D9" t="s">
        <v>70</v>
      </c>
      <c r="E9" s="4">
        <v>340000</v>
      </c>
      <c r="F9" t="s">
        <v>9</v>
      </c>
      <c r="G9" s="3">
        <v>340000</v>
      </c>
      <c r="H9" t="s">
        <v>74</v>
      </c>
      <c r="I9">
        <v>59</v>
      </c>
      <c r="J9" t="s">
        <v>10</v>
      </c>
      <c r="K9" t="s">
        <v>33</v>
      </c>
      <c r="L9" t="s">
        <v>12</v>
      </c>
      <c r="M9">
        <v>600</v>
      </c>
    </row>
    <row r="10" spans="1:13" x14ac:dyDescent="0.3">
      <c r="A10" t="s">
        <v>34</v>
      </c>
      <c r="B10" s="1">
        <v>46084</v>
      </c>
      <c r="C10" s="6" t="s">
        <v>84</v>
      </c>
      <c r="D10" t="s">
        <v>24</v>
      </c>
      <c r="E10" s="4">
        <v>125000</v>
      </c>
      <c r="F10" t="s">
        <v>9</v>
      </c>
      <c r="G10" s="3">
        <v>125000</v>
      </c>
      <c r="H10" t="s">
        <v>73</v>
      </c>
      <c r="I10">
        <v>46</v>
      </c>
      <c r="J10" t="s">
        <v>10</v>
      </c>
      <c r="K10" t="s">
        <v>14</v>
      </c>
      <c r="L10" t="s">
        <v>27</v>
      </c>
      <c r="M10">
        <v>4100</v>
      </c>
    </row>
    <row r="11" spans="1:13" x14ac:dyDescent="0.3">
      <c r="A11" t="s">
        <v>35</v>
      </c>
      <c r="B11" s="1">
        <v>46084</v>
      </c>
      <c r="C11" s="6" t="s">
        <v>86</v>
      </c>
      <c r="D11" t="s">
        <v>36</v>
      </c>
      <c r="E11" s="4">
        <v>610000</v>
      </c>
      <c r="F11" t="s">
        <v>9</v>
      </c>
      <c r="G11" s="3">
        <v>610000</v>
      </c>
      <c r="H11" t="s">
        <v>73</v>
      </c>
      <c r="I11">
        <v>77</v>
      </c>
      <c r="J11" t="s">
        <v>10</v>
      </c>
      <c r="K11" t="s">
        <v>18</v>
      </c>
      <c r="L11" t="s">
        <v>15</v>
      </c>
      <c r="M11" t="s">
        <v>99</v>
      </c>
    </row>
    <row r="12" spans="1:13" x14ac:dyDescent="0.3">
      <c r="A12" t="s">
        <v>37</v>
      </c>
      <c r="B12" s="1">
        <v>46084</v>
      </c>
      <c r="C12" s="6" t="s">
        <v>84</v>
      </c>
      <c r="D12" t="s">
        <v>29</v>
      </c>
      <c r="E12" s="4">
        <v>195000</v>
      </c>
      <c r="F12" t="s">
        <v>9</v>
      </c>
      <c r="G12" s="3">
        <v>195000</v>
      </c>
      <c r="H12" t="s">
        <v>77</v>
      </c>
      <c r="I12">
        <v>0</v>
      </c>
      <c r="J12" t="s">
        <v>10</v>
      </c>
      <c r="K12" t="s">
        <v>38</v>
      </c>
      <c r="L12" t="s">
        <v>12</v>
      </c>
      <c r="M12">
        <v>1800</v>
      </c>
    </row>
    <row r="13" spans="1:13" x14ac:dyDescent="0.3">
      <c r="A13" t="s">
        <v>39</v>
      </c>
      <c r="B13" s="1">
        <v>46085</v>
      </c>
      <c r="C13" s="6" t="s">
        <v>86</v>
      </c>
      <c r="D13" t="s">
        <v>21</v>
      </c>
      <c r="E13" s="4">
        <v>250000</v>
      </c>
      <c r="F13" t="s">
        <v>9</v>
      </c>
      <c r="G13" s="3">
        <v>250000</v>
      </c>
      <c r="H13" t="s">
        <v>74</v>
      </c>
      <c r="I13">
        <v>61</v>
      </c>
      <c r="J13" t="s">
        <v>17</v>
      </c>
      <c r="K13" t="s">
        <v>40</v>
      </c>
      <c r="L13" t="s">
        <v>15</v>
      </c>
      <c r="M13" t="s">
        <v>99</v>
      </c>
    </row>
    <row r="14" spans="1:13" x14ac:dyDescent="0.3">
      <c r="A14" t="s">
        <v>41</v>
      </c>
      <c r="B14" s="1">
        <v>46085</v>
      </c>
      <c r="C14" s="6" t="s">
        <v>84</v>
      </c>
      <c r="D14" t="s">
        <v>69</v>
      </c>
      <c r="E14" s="4">
        <v>310000</v>
      </c>
      <c r="F14" t="s">
        <v>9</v>
      </c>
      <c r="G14" s="3">
        <v>310000</v>
      </c>
      <c r="H14" t="s">
        <v>74</v>
      </c>
      <c r="I14">
        <v>54</v>
      </c>
      <c r="J14" t="s">
        <v>10</v>
      </c>
      <c r="K14" t="s">
        <v>42</v>
      </c>
      <c r="L14" t="s">
        <v>12</v>
      </c>
      <c r="M14" t="s">
        <v>99</v>
      </c>
    </row>
    <row r="15" spans="1:13" x14ac:dyDescent="0.3">
      <c r="A15" t="s">
        <v>43</v>
      </c>
      <c r="B15" s="1">
        <v>46085</v>
      </c>
      <c r="C15" s="6" t="s">
        <v>86</v>
      </c>
      <c r="D15" t="s">
        <v>21</v>
      </c>
      <c r="E15" s="4">
        <v>470000</v>
      </c>
      <c r="F15" t="s">
        <v>9</v>
      </c>
      <c r="G15" s="3">
        <v>470000</v>
      </c>
      <c r="H15" t="s">
        <v>74</v>
      </c>
      <c r="I15">
        <v>73</v>
      </c>
      <c r="J15" t="s">
        <v>10</v>
      </c>
      <c r="K15" t="s">
        <v>11</v>
      </c>
      <c r="L15" t="s">
        <v>19</v>
      </c>
      <c r="M15" t="s">
        <v>99</v>
      </c>
    </row>
    <row r="16" spans="1:13" x14ac:dyDescent="0.3">
      <c r="A16" t="s">
        <v>44</v>
      </c>
      <c r="B16" s="1">
        <v>46085</v>
      </c>
      <c r="C16" s="6" t="s">
        <v>84</v>
      </c>
      <c r="D16" t="s">
        <v>24</v>
      </c>
      <c r="E16" s="4">
        <v>130000</v>
      </c>
      <c r="F16" t="s">
        <v>9</v>
      </c>
      <c r="G16" s="3">
        <v>130000</v>
      </c>
      <c r="H16" t="s">
        <v>73</v>
      </c>
      <c r="I16">
        <v>52</v>
      </c>
      <c r="J16" t="s">
        <v>10</v>
      </c>
      <c r="K16" t="s">
        <v>14</v>
      </c>
      <c r="L16" t="s">
        <v>15</v>
      </c>
      <c r="M16" t="s">
        <v>99</v>
      </c>
    </row>
    <row r="17" spans="1:13" x14ac:dyDescent="0.3">
      <c r="A17" t="s">
        <v>45</v>
      </c>
      <c r="B17" s="1">
        <v>46086</v>
      </c>
      <c r="C17" s="6" t="s">
        <v>86</v>
      </c>
      <c r="D17" t="s">
        <v>21</v>
      </c>
      <c r="E17" s="4">
        <v>220000</v>
      </c>
      <c r="F17" t="s">
        <v>9</v>
      </c>
      <c r="G17" s="3">
        <v>220000</v>
      </c>
      <c r="H17" t="s">
        <v>77</v>
      </c>
      <c r="I17">
        <v>69</v>
      </c>
      <c r="J17" t="s">
        <v>10</v>
      </c>
      <c r="K17" t="s">
        <v>38</v>
      </c>
      <c r="L17" t="s">
        <v>15</v>
      </c>
      <c r="M17" t="s">
        <v>99</v>
      </c>
    </row>
    <row r="18" spans="1:13" x14ac:dyDescent="0.3">
      <c r="A18" t="s">
        <v>46</v>
      </c>
      <c r="B18" s="1">
        <v>46086</v>
      </c>
      <c r="C18" s="6" t="s">
        <v>86</v>
      </c>
      <c r="D18" t="s">
        <v>21</v>
      </c>
      <c r="E18" s="4">
        <v>180000</v>
      </c>
      <c r="F18" t="s">
        <v>9</v>
      </c>
      <c r="G18" s="3">
        <v>180000</v>
      </c>
      <c r="H18" t="s">
        <v>77</v>
      </c>
      <c r="I18">
        <v>72</v>
      </c>
      <c r="J18" t="s">
        <v>10</v>
      </c>
      <c r="K18" t="s">
        <v>38</v>
      </c>
      <c r="L18" t="s">
        <v>15</v>
      </c>
      <c r="M18" t="s">
        <v>99</v>
      </c>
    </row>
    <row r="19" spans="1:13" x14ac:dyDescent="0.3">
      <c r="A19" t="s">
        <v>47</v>
      </c>
      <c r="B19" s="1">
        <v>46086</v>
      </c>
      <c r="C19" s="6" t="s">
        <v>86</v>
      </c>
      <c r="D19" t="s">
        <v>70</v>
      </c>
      <c r="E19" s="4">
        <v>145000</v>
      </c>
      <c r="F19" t="s">
        <v>9</v>
      </c>
      <c r="G19" s="3">
        <v>145000</v>
      </c>
      <c r="H19" t="s">
        <v>48</v>
      </c>
      <c r="I19">
        <v>86</v>
      </c>
      <c r="J19" t="s">
        <v>17</v>
      </c>
      <c r="K19" t="s">
        <v>38</v>
      </c>
      <c r="L19" t="s">
        <v>12</v>
      </c>
      <c r="M19" t="s">
        <v>99</v>
      </c>
    </row>
    <row r="20" spans="1:13" x14ac:dyDescent="0.3">
      <c r="A20" t="s">
        <v>49</v>
      </c>
      <c r="B20" s="1">
        <v>46086</v>
      </c>
      <c r="C20" s="6" t="s">
        <v>84</v>
      </c>
      <c r="D20" t="s">
        <v>29</v>
      </c>
      <c r="E20" s="4">
        <v>260000</v>
      </c>
      <c r="F20" t="s">
        <v>9</v>
      </c>
      <c r="G20" s="3">
        <v>260000</v>
      </c>
      <c r="H20" t="s">
        <v>77</v>
      </c>
      <c r="I20">
        <v>67</v>
      </c>
      <c r="J20" t="s">
        <v>10</v>
      </c>
      <c r="K20" t="s">
        <v>38</v>
      </c>
      <c r="L20" t="s">
        <v>27</v>
      </c>
      <c r="M20" t="s">
        <v>99</v>
      </c>
    </row>
    <row r="21" spans="1:13" x14ac:dyDescent="0.3">
      <c r="A21" t="s">
        <v>50</v>
      </c>
      <c r="B21" s="1">
        <v>46086</v>
      </c>
      <c r="C21" s="6" t="s">
        <v>84</v>
      </c>
      <c r="D21" t="s">
        <v>24</v>
      </c>
      <c r="E21" s="4">
        <v>520000</v>
      </c>
      <c r="F21" t="s">
        <v>9</v>
      </c>
      <c r="G21" s="3">
        <v>520000</v>
      </c>
      <c r="H21" t="s">
        <v>74</v>
      </c>
      <c r="I21">
        <v>75</v>
      </c>
      <c r="J21" t="s">
        <v>10</v>
      </c>
      <c r="K21" t="s">
        <v>26</v>
      </c>
      <c r="L21" t="s">
        <v>12</v>
      </c>
      <c r="M21" t="s">
        <v>99</v>
      </c>
    </row>
    <row r="22" spans="1:13" x14ac:dyDescent="0.3">
      <c r="A22" t="s">
        <v>51</v>
      </c>
      <c r="B22" s="1">
        <v>46087</v>
      </c>
      <c r="C22" s="6" t="s">
        <v>86</v>
      </c>
      <c r="D22" t="s">
        <v>71</v>
      </c>
      <c r="E22" s="4">
        <v>330000</v>
      </c>
      <c r="F22" t="s">
        <v>9</v>
      </c>
      <c r="G22" s="3">
        <v>330000</v>
      </c>
      <c r="H22" t="s">
        <v>74</v>
      </c>
      <c r="I22">
        <v>63</v>
      </c>
      <c r="J22" t="s">
        <v>10</v>
      </c>
      <c r="K22" t="s">
        <v>31</v>
      </c>
      <c r="L22" t="s">
        <v>15</v>
      </c>
      <c r="M22" t="s">
        <v>99</v>
      </c>
    </row>
    <row r="23" spans="1:13" x14ac:dyDescent="0.3">
      <c r="A23" t="s">
        <v>52</v>
      </c>
      <c r="B23" s="1">
        <v>46087</v>
      </c>
      <c r="C23" s="6" t="s">
        <v>84</v>
      </c>
      <c r="D23" t="s">
        <v>24</v>
      </c>
      <c r="E23" s="4">
        <v>410000</v>
      </c>
      <c r="F23" t="s">
        <v>9</v>
      </c>
      <c r="G23" s="3">
        <v>410000</v>
      </c>
      <c r="H23" t="s">
        <v>74</v>
      </c>
      <c r="I23">
        <v>60</v>
      </c>
      <c r="J23" t="s">
        <v>10</v>
      </c>
      <c r="K23" t="s">
        <v>33</v>
      </c>
      <c r="L23" t="s">
        <v>12</v>
      </c>
      <c r="M23" t="s">
        <v>99</v>
      </c>
    </row>
    <row r="24" spans="1:13" x14ac:dyDescent="0.3">
      <c r="A24" t="s">
        <v>53</v>
      </c>
      <c r="B24" s="1">
        <v>46082</v>
      </c>
      <c r="C24" s="6" t="s">
        <v>96</v>
      </c>
      <c r="D24" t="s">
        <v>54</v>
      </c>
      <c r="E24" s="4">
        <v>5200</v>
      </c>
      <c r="F24" t="s">
        <v>55</v>
      </c>
      <c r="G24" s="3">
        <v>468000</v>
      </c>
      <c r="H24" t="s">
        <v>74</v>
      </c>
      <c r="I24">
        <v>42</v>
      </c>
      <c r="J24" t="s">
        <v>56</v>
      </c>
      <c r="K24" t="s">
        <v>18</v>
      </c>
      <c r="L24" t="s">
        <v>15</v>
      </c>
      <c r="M24" t="s">
        <v>99</v>
      </c>
    </row>
    <row r="25" spans="1:13" x14ac:dyDescent="0.3">
      <c r="A25" t="s">
        <v>57</v>
      </c>
      <c r="B25" s="1">
        <v>46083</v>
      </c>
      <c r="C25" s="6" t="s">
        <v>89</v>
      </c>
      <c r="D25" t="s">
        <v>58</v>
      </c>
      <c r="E25" s="4">
        <v>6100</v>
      </c>
      <c r="F25" t="s">
        <v>55</v>
      </c>
      <c r="G25" s="3">
        <v>549000</v>
      </c>
      <c r="H25" t="s">
        <v>48</v>
      </c>
      <c r="I25">
        <v>65</v>
      </c>
      <c r="J25" t="s">
        <v>59</v>
      </c>
      <c r="K25" t="s">
        <v>22</v>
      </c>
      <c r="L25" t="s">
        <v>15</v>
      </c>
      <c r="M25" t="s">
        <v>99</v>
      </c>
    </row>
    <row r="26" spans="1:13" x14ac:dyDescent="0.3">
      <c r="A26" t="s">
        <v>60</v>
      </c>
      <c r="B26" s="1">
        <v>46084</v>
      </c>
      <c r="C26" s="6" t="s">
        <v>96</v>
      </c>
      <c r="D26" t="s">
        <v>54</v>
      </c>
      <c r="E26" s="4">
        <v>2800</v>
      </c>
      <c r="F26" t="s">
        <v>55</v>
      </c>
      <c r="G26" s="3">
        <v>252000</v>
      </c>
      <c r="H26" t="s">
        <v>74</v>
      </c>
      <c r="I26">
        <v>38</v>
      </c>
      <c r="J26" t="s">
        <v>59</v>
      </c>
      <c r="K26" t="s">
        <v>26</v>
      </c>
      <c r="L26" t="s">
        <v>27</v>
      </c>
      <c r="M26" t="s">
        <v>99</v>
      </c>
    </row>
    <row r="27" spans="1:13" x14ac:dyDescent="0.3">
      <c r="A27" t="s">
        <v>61</v>
      </c>
      <c r="B27" s="1">
        <v>46086</v>
      </c>
      <c r="C27" s="6" t="s">
        <v>89</v>
      </c>
      <c r="D27" t="s">
        <v>58</v>
      </c>
      <c r="E27" s="4">
        <v>3300</v>
      </c>
      <c r="F27" t="s">
        <v>55</v>
      </c>
      <c r="G27" s="3">
        <v>297000</v>
      </c>
      <c r="H27" t="s">
        <v>77</v>
      </c>
      <c r="I27">
        <v>44</v>
      </c>
      <c r="J27" t="s">
        <v>56</v>
      </c>
      <c r="K27" t="s">
        <v>31</v>
      </c>
      <c r="L27" t="s">
        <v>19</v>
      </c>
      <c r="M27" t="s">
        <v>99</v>
      </c>
    </row>
    <row r="28" spans="1:13" x14ac:dyDescent="0.3">
      <c r="A28" t="s">
        <v>62</v>
      </c>
      <c r="B28" s="1">
        <v>46082</v>
      </c>
      <c r="C28" s="6" t="s">
        <v>92</v>
      </c>
      <c r="D28" t="s">
        <v>65</v>
      </c>
      <c r="E28" s="4">
        <v>7200</v>
      </c>
      <c r="F28" t="s">
        <v>63</v>
      </c>
      <c r="G28" s="3">
        <v>597600</v>
      </c>
      <c r="H28" t="s">
        <v>74</v>
      </c>
      <c r="I28">
        <v>49</v>
      </c>
      <c r="J28" t="s">
        <v>66</v>
      </c>
      <c r="K28" t="s">
        <v>33</v>
      </c>
      <c r="L28" t="s">
        <v>15</v>
      </c>
      <c r="M28" t="s">
        <v>99</v>
      </c>
    </row>
    <row r="29" spans="1:13" x14ac:dyDescent="0.3">
      <c r="A29" t="s">
        <v>64</v>
      </c>
      <c r="B29" s="1">
        <v>46083</v>
      </c>
      <c r="C29" s="6" t="s">
        <v>92</v>
      </c>
      <c r="D29" t="s">
        <v>65</v>
      </c>
      <c r="E29" s="4">
        <v>3100</v>
      </c>
      <c r="F29" t="s">
        <v>63</v>
      </c>
      <c r="G29" s="3">
        <v>257300</v>
      </c>
      <c r="H29" t="s">
        <v>75</v>
      </c>
      <c r="I29">
        <v>41</v>
      </c>
      <c r="J29" t="s">
        <v>66</v>
      </c>
      <c r="K29" t="s">
        <v>38</v>
      </c>
      <c r="L29" t="s">
        <v>15</v>
      </c>
      <c r="M29" t="s">
        <v>99</v>
      </c>
    </row>
    <row r="30" spans="1:13" x14ac:dyDescent="0.3">
      <c r="A30" t="s">
        <v>67</v>
      </c>
      <c r="B30" s="1">
        <v>46085</v>
      </c>
      <c r="C30" s="6" t="s">
        <v>92</v>
      </c>
      <c r="D30" t="s">
        <v>72</v>
      </c>
      <c r="E30" s="4">
        <v>2500</v>
      </c>
      <c r="F30" t="s">
        <v>63</v>
      </c>
      <c r="G30" s="3">
        <v>207500</v>
      </c>
      <c r="H30" t="s">
        <v>48</v>
      </c>
      <c r="I30">
        <v>58</v>
      </c>
      <c r="J30" t="s">
        <v>66</v>
      </c>
      <c r="K30" t="s">
        <v>40</v>
      </c>
      <c r="L30" t="s">
        <v>27</v>
      </c>
      <c r="M30" t="s">
        <v>99</v>
      </c>
    </row>
    <row r="31" spans="1:13" x14ac:dyDescent="0.3">
      <c r="A31" t="s">
        <v>68</v>
      </c>
      <c r="B31" s="1">
        <v>46087</v>
      </c>
      <c r="C31" s="6" t="s">
        <v>92</v>
      </c>
      <c r="D31" t="s">
        <v>65</v>
      </c>
      <c r="E31" s="4">
        <v>1800</v>
      </c>
      <c r="F31" t="s">
        <v>63</v>
      </c>
      <c r="G31" s="3">
        <v>149400</v>
      </c>
      <c r="H31" t="s">
        <v>77</v>
      </c>
      <c r="I31">
        <v>47</v>
      </c>
      <c r="J31" t="s">
        <v>66</v>
      </c>
      <c r="K31" t="s">
        <v>42</v>
      </c>
      <c r="L31" t="s">
        <v>12</v>
      </c>
      <c r="M31" t="s">
        <v>99</v>
      </c>
    </row>
  </sheetData>
  <phoneticPr fontId="18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9D677A6-F4AB-463F-9A21-35415B76222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gateway</vt:lpstr>
      <vt:lpstr>quick_pay_final_report.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bnb</dc:creator>
  <cp:lastModifiedBy>rakhi.g.work@outlook.com</cp:lastModifiedBy>
  <dcterms:created xsi:type="dcterms:W3CDTF">2026-05-10T13:03:33Z</dcterms:created>
  <dcterms:modified xsi:type="dcterms:W3CDTF">2026-05-10T18:08:01Z</dcterms:modified>
</cp:coreProperties>
</file>